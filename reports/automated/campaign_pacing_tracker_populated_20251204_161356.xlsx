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acing" sheetId="1" state="visible" r:id="rId1"/>
    <sheet xmlns:r="http://schemas.openxmlformats.org/officeDocument/2006/relationships" name="Weekly Pacing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Campaign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$#,##0"/>
    <numFmt numFmtId="166" formatCode="$#,##0.00"/>
    <numFmt numFmtId="167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0000FF"/>
    </font>
    <font>
      <b val="1"/>
      <color rgb="00FFFFFF"/>
      <sz val="11"/>
    </font>
    <font>
      <b val="1"/>
      <color rgb="00FFFFFF"/>
      <sz val="12"/>
    </font>
    <font>
      <b val="1"/>
      <color rgb="00FFFFFF"/>
      <sz val="10"/>
    </font>
    <font>
      <color rgb="00008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0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10" fontId="2" fillId="5" borderId="0" applyAlignment="1" pivotButton="0" quotePrefix="0" xfId="0">
      <alignment horizontal="center" vertical="center" wrapText="1"/>
    </xf>
    <xf numFmtId="166" fontId="2" fillId="5" borderId="0" applyAlignment="1" pivotButton="0" quotePrefix="0" xfId="0">
      <alignment horizontal="center" vertical="center" wrapText="1"/>
    </xf>
    <xf numFmtId="2" fontId="2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0" fontId="0" fillId="0" borderId="0" pivotButton="0" quotePrefix="0" xfId="0"/>
    <xf numFmtId="2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66" fontId="2" fillId="5" borderId="0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5" fontId="0" fillId="0" borderId="0" pivotButton="0" quotePrefix="0" xfId="0"/>
    <xf numFmtId="0" fontId="8" fillId="5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</cols>
  <sheetData>
    <row r="1">
      <c r="A1" s="1" t="inlineStr">
        <is>
          <t>CAMPAIGN DAILY PACING DASHBOARD</t>
        </is>
      </c>
    </row>
    <row r="2"/>
    <row r="3">
      <c r="A3" s="2" t="inlineStr">
        <is>
          <t>Campaign Name:</t>
        </is>
      </c>
      <c r="B3" s="3" t="inlineStr">
        <is>
          <t>Enter Campaign Name</t>
        </is>
      </c>
      <c r="C3" s="4" t="n"/>
      <c r="D3" s="5" t="n"/>
      <c r="E3" s="2" t="inlineStr">
        <is>
          <t>Platform:</t>
        </is>
      </c>
      <c r="F3" s="3" t="inlineStr">
        <is>
          <t>Google Ads / Meta / LinkedIn / Snapchat</t>
        </is>
      </c>
      <c r="G3" s="4" t="n"/>
      <c r="H3" s="5" t="n"/>
      <c r="I3" s="2" t="inlineStr">
        <is>
          <t>Campaign ID:</t>
        </is>
      </c>
      <c r="J3" s="3" t="inlineStr">
        <is>
          <t>Enter ID</t>
        </is>
      </c>
      <c r="K3" s="5" t="n"/>
    </row>
    <row r="4">
      <c r="A4" s="2" t="inlineStr">
        <is>
          <t>Start Date:</t>
        </is>
      </c>
      <c r="B4" s="32" t="n">
        <v>45292</v>
      </c>
      <c r="E4" s="2" t="inlineStr">
        <is>
          <t>End Date:</t>
        </is>
      </c>
      <c r="F4" s="32" t="n">
        <v>45322</v>
      </c>
      <c r="I4" s="2" t="inlineStr">
        <is>
          <t>Total Budget:</t>
        </is>
      </c>
      <c r="J4" s="33" t="n">
        <v>10000</v>
      </c>
    </row>
    <row r="5">
      <c r="A5" s="2" t="inlineStr">
        <is>
          <t>Campaign Duration (Days):</t>
        </is>
      </c>
      <c r="B5" s="8">
        <f>F4-B4+1</f>
        <v/>
      </c>
      <c r="E5" s="2" t="inlineStr">
        <is>
          <t>Days Elapsed:</t>
        </is>
      </c>
      <c r="F5" s="8">
        <f>TODAY()-B4+1</f>
        <v/>
      </c>
      <c r="I5" s="2" t="inlineStr">
        <is>
          <t>Days Remaining:</t>
        </is>
      </c>
      <c r="J5" s="8">
        <f>F4-TODAY()</f>
        <v/>
      </c>
    </row>
    <row r="6"/>
    <row r="7">
      <c r="A7" s="9" t="inlineStr">
        <is>
          <t>Date</t>
        </is>
      </c>
      <c r="B7" s="9" t="inlineStr">
        <is>
          <t>Platform</t>
        </is>
      </c>
      <c r="C7" s="9" t="inlineStr">
        <is>
          <t>Impressions</t>
        </is>
      </c>
      <c r="D7" s="9" t="inlineStr">
        <is>
          <t>Clicks</t>
        </is>
      </c>
      <c r="E7" s="9" t="inlineStr">
        <is>
          <t>CTR %</t>
        </is>
      </c>
      <c r="F7" s="9" t="inlineStr">
        <is>
          <t>Conversions</t>
        </is>
      </c>
      <c r="G7" s="9" t="inlineStr">
        <is>
          <t>Conv Rate %</t>
        </is>
      </c>
      <c r="H7" s="9" t="inlineStr">
        <is>
          <t>Spend</t>
        </is>
      </c>
      <c r="I7" s="9" t="inlineStr">
        <is>
          <t>CPM</t>
        </is>
      </c>
      <c r="J7" s="9" t="inlineStr">
        <is>
          <t>CPC</t>
        </is>
      </c>
      <c r="K7" s="9" t="inlineStr">
        <is>
          <t>CPA</t>
        </is>
      </c>
      <c r="L7" s="9" t="inlineStr">
        <is>
          <t>ROAS</t>
        </is>
      </c>
      <c r="M7" s="9" t="inlineStr">
        <is>
          <t>Revenue</t>
        </is>
      </c>
      <c r="N7" s="9" t="inlineStr">
        <is>
          <t>Notes</t>
        </is>
      </c>
    </row>
    <row r="8">
      <c r="A8" s="34" t="n">
        <v>45292</v>
      </c>
      <c r="B8" s="3" t="inlineStr">
        <is>
          <t>Google Ads</t>
        </is>
      </c>
      <c r="C8" s="3" t="n"/>
      <c r="D8" s="3" t="n"/>
      <c r="E8" s="11">
        <f>IF(C8=0,0,D8/C8)</f>
        <v/>
      </c>
      <c r="F8" s="3" t="n"/>
      <c r="G8" s="11">
        <f>IF(D8=0,0,F8/D8)</f>
        <v/>
      </c>
      <c r="H8" s="35" t="n"/>
      <c r="I8" s="35">
        <f>IF(C8=0,0,(H8/C8)*1000)</f>
        <v/>
      </c>
      <c r="J8" s="35">
        <f>IF(D8=0,0,H8/D8)</f>
        <v/>
      </c>
      <c r="K8" s="35">
        <f>IF(F8=0,0,H8/F8)</f>
        <v/>
      </c>
      <c r="L8" s="13">
        <f>IF(H8=0,0,M8/H8)</f>
        <v/>
      </c>
      <c r="M8" s="35" t="n"/>
      <c r="N8" s="3" t="n"/>
    </row>
    <row r="9">
      <c r="A9" s="34" t="n">
        <v>45293</v>
      </c>
      <c r="B9" s="3" t="inlineStr">
        <is>
          <t>Meta</t>
        </is>
      </c>
      <c r="C9" s="3" t="n"/>
      <c r="D9" s="3" t="n"/>
      <c r="E9" s="11">
        <f>IF(C9=0,0,D9/C9)</f>
        <v/>
      </c>
      <c r="F9" s="3" t="n"/>
      <c r="G9" s="11">
        <f>IF(D9=0,0,F9/D9)</f>
        <v/>
      </c>
      <c r="H9" s="35" t="n"/>
      <c r="I9" s="35">
        <f>IF(C9=0,0,(H9/C9)*1000)</f>
        <v/>
      </c>
      <c r="J9" s="35">
        <f>IF(D9=0,0,H9/D9)</f>
        <v/>
      </c>
      <c r="K9" s="35">
        <f>IF(F9=0,0,H9/F9)</f>
        <v/>
      </c>
      <c r="L9" s="13">
        <f>IF(H9=0,0,M9/H9)</f>
        <v/>
      </c>
      <c r="M9" s="35" t="n"/>
      <c r="N9" s="3" t="n"/>
    </row>
    <row r="10">
      <c r="A10" s="34" t="n">
        <v>45294</v>
      </c>
      <c r="B10" s="3" t="inlineStr">
        <is>
          <t>LinkedIn</t>
        </is>
      </c>
      <c r="C10" s="3" t="n"/>
      <c r="D10" s="3" t="n"/>
      <c r="E10" s="11">
        <f>IF(C10=0,0,D10/C10)</f>
        <v/>
      </c>
      <c r="F10" s="3" t="n"/>
      <c r="G10" s="11">
        <f>IF(D10=0,0,F10/D10)</f>
        <v/>
      </c>
      <c r="H10" s="35" t="n"/>
      <c r="I10" s="35">
        <f>IF(C10=0,0,(H10/C10)*1000)</f>
        <v/>
      </c>
      <c r="J10" s="35">
        <f>IF(D10=0,0,H10/D10)</f>
        <v/>
      </c>
      <c r="K10" s="35">
        <f>IF(F10=0,0,H10/F10)</f>
        <v/>
      </c>
      <c r="L10" s="13">
        <f>IF(H10=0,0,M10/H10)</f>
        <v/>
      </c>
      <c r="M10" s="35" t="n"/>
      <c r="N10" s="3" t="n"/>
    </row>
    <row r="11">
      <c r="A11" s="34" t="n">
        <v>45295</v>
      </c>
      <c r="B11" s="3" t="inlineStr">
        <is>
          <t>Snapchat</t>
        </is>
      </c>
      <c r="C11" s="3" t="n"/>
      <c r="D11" s="3" t="n"/>
      <c r="E11" s="11">
        <f>IF(C11=0,0,D11/C11)</f>
        <v/>
      </c>
      <c r="F11" s="3" t="n"/>
      <c r="G11" s="11">
        <f>IF(D11=0,0,F11/D11)</f>
        <v/>
      </c>
      <c r="H11" s="35" t="n"/>
      <c r="I11" s="35">
        <f>IF(C11=0,0,(H11/C11)*1000)</f>
        <v/>
      </c>
      <c r="J11" s="35">
        <f>IF(D11=0,0,H11/D11)</f>
        <v/>
      </c>
      <c r="K11" s="35">
        <f>IF(F11=0,0,H11/F11)</f>
        <v/>
      </c>
      <c r="L11" s="13">
        <f>IF(H11=0,0,M11/H11)</f>
        <v/>
      </c>
      <c r="M11" s="35" t="n"/>
      <c r="N11" s="3" t="n"/>
    </row>
    <row r="12">
      <c r="A12" s="34" t="n">
        <v>45296</v>
      </c>
      <c r="B12" s="3" t="inlineStr">
        <is>
          <t>Google Ads</t>
        </is>
      </c>
      <c r="C12" s="3" t="n"/>
      <c r="D12" s="3" t="n"/>
      <c r="E12" s="11">
        <f>IF(C12=0,0,D12/C12)</f>
        <v/>
      </c>
      <c r="F12" s="3" t="n"/>
      <c r="G12" s="11">
        <f>IF(D12=0,0,F12/D12)</f>
        <v/>
      </c>
      <c r="H12" s="35" t="n"/>
      <c r="I12" s="35">
        <f>IF(C12=0,0,(H12/C12)*1000)</f>
        <v/>
      </c>
      <c r="J12" s="35">
        <f>IF(D12=0,0,H12/D12)</f>
        <v/>
      </c>
      <c r="K12" s="35">
        <f>IF(F12=0,0,H12/F12)</f>
        <v/>
      </c>
      <c r="L12" s="13">
        <f>IF(H12=0,0,M12/H12)</f>
        <v/>
      </c>
      <c r="M12" s="35" t="n"/>
      <c r="N12" s="3" t="n"/>
    </row>
    <row r="13">
      <c r="A13" s="34" t="n">
        <v>45297</v>
      </c>
      <c r="B13" s="3" t="inlineStr">
        <is>
          <t>Meta</t>
        </is>
      </c>
      <c r="C13" s="3" t="n"/>
      <c r="D13" s="3" t="n"/>
      <c r="E13" s="11">
        <f>IF(C13=0,0,D13/C13)</f>
        <v/>
      </c>
      <c r="F13" s="3" t="n"/>
      <c r="G13" s="11">
        <f>IF(D13=0,0,F13/D13)</f>
        <v/>
      </c>
      <c r="H13" s="35" t="n"/>
      <c r="I13" s="35">
        <f>IF(C13=0,0,(H13/C13)*1000)</f>
        <v/>
      </c>
      <c r="J13" s="35">
        <f>IF(D13=0,0,H13/D13)</f>
        <v/>
      </c>
      <c r="K13" s="35">
        <f>IF(F13=0,0,H13/F13)</f>
        <v/>
      </c>
      <c r="L13" s="13">
        <f>IF(H13=0,0,M13/H13)</f>
        <v/>
      </c>
      <c r="M13" s="35" t="n"/>
      <c r="N13" s="3" t="n"/>
    </row>
    <row r="14">
      <c r="A14" s="34" t="n">
        <v>45298</v>
      </c>
      <c r="B14" s="3" t="inlineStr">
        <is>
          <t>LinkedIn</t>
        </is>
      </c>
      <c r="C14" s="3" t="n"/>
      <c r="D14" s="3" t="n"/>
      <c r="E14" s="11">
        <f>IF(C14=0,0,D14/C14)</f>
        <v/>
      </c>
      <c r="F14" s="3" t="n"/>
      <c r="G14" s="11">
        <f>IF(D14=0,0,F14/D14)</f>
        <v/>
      </c>
      <c r="H14" s="35" t="n"/>
      <c r="I14" s="35">
        <f>IF(C14=0,0,(H14/C14)*1000)</f>
        <v/>
      </c>
      <c r="J14" s="35">
        <f>IF(D14=0,0,H14/D14)</f>
        <v/>
      </c>
      <c r="K14" s="35">
        <f>IF(F14=0,0,H14/F14)</f>
        <v/>
      </c>
      <c r="L14" s="13">
        <f>IF(H14=0,0,M14/H14)</f>
        <v/>
      </c>
      <c r="M14" s="35" t="n"/>
      <c r="N14" s="3" t="n"/>
    </row>
    <row r="15">
      <c r="A15" s="34" t="n">
        <v>45299</v>
      </c>
      <c r="B15" s="3" t="inlineStr">
        <is>
          <t>Snapchat</t>
        </is>
      </c>
      <c r="C15" s="3" t="n"/>
      <c r="D15" s="3" t="n"/>
      <c r="E15" s="11">
        <f>IF(C15=0,0,D15/C15)</f>
        <v/>
      </c>
      <c r="F15" s="3" t="n"/>
      <c r="G15" s="11">
        <f>IF(D15=0,0,F15/D15)</f>
        <v/>
      </c>
      <c r="H15" s="35" t="n"/>
      <c r="I15" s="35">
        <f>IF(C15=0,0,(H15/C15)*1000)</f>
        <v/>
      </c>
      <c r="J15" s="35">
        <f>IF(D15=0,0,H15/D15)</f>
        <v/>
      </c>
      <c r="K15" s="35">
        <f>IF(F15=0,0,H15/F15)</f>
        <v/>
      </c>
      <c r="L15" s="13">
        <f>IF(H15=0,0,M15/H15)</f>
        <v/>
      </c>
      <c r="M15" s="35" t="n"/>
      <c r="N15" s="3" t="n"/>
    </row>
    <row r="16">
      <c r="A16" s="34" t="n">
        <v>45300</v>
      </c>
      <c r="B16" s="3" t="inlineStr">
        <is>
          <t>Google Ads</t>
        </is>
      </c>
      <c r="C16" s="3" t="n"/>
      <c r="D16" s="3" t="n"/>
      <c r="E16" s="11">
        <f>IF(C16=0,0,D16/C16)</f>
        <v/>
      </c>
      <c r="F16" s="3" t="n"/>
      <c r="G16" s="11">
        <f>IF(D16=0,0,F16/D16)</f>
        <v/>
      </c>
      <c r="H16" s="35" t="n"/>
      <c r="I16" s="35">
        <f>IF(C16=0,0,(H16/C16)*1000)</f>
        <v/>
      </c>
      <c r="J16" s="35">
        <f>IF(D16=0,0,H16/D16)</f>
        <v/>
      </c>
      <c r="K16" s="35">
        <f>IF(F16=0,0,H16/F16)</f>
        <v/>
      </c>
      <c r="L16" s="13">
        <f>IF(H16=0,0,M16/H16)</f>
        <v/>
      </c>
      <c r="M16" s="35" t="n"/>
      <c r="N16" s="3" t="n"/>
    </row>
    <row r="17">
      <c r="A17" s="34" t="n">
        <v>45301</v>
      </c>
      <c r="B17" s="3" t="inlineStr">
        <is>
          <t>Meta</t>
        </is>
      </c>
      <c r="C17" s="3" t="n"/>
      <c r="D17" s="3" t="n"/>
      <c r="E17" s="11">
        <f>IF(C17=0,0,D17/C17)</f>
        <v/>
      </c>
      <c r="F17" s="3" t="n"/>
      <c r="G17" s="11">
        <f>IF(D17=0,0,F17/D17)</f>
        <v/>
      </c>
      <c r="H17" s="35" t="n"/>
      <c r="I17" s="35">
        <f>IF(C17=0,0,(H17/C17)*1000)</f>
        <v/>
      </c>
      <c r="J17" s="35">
        <f>IF(D17=0,0,H17/D17)</f>
        <v/>
      </c>
      <c r="K17" s="35">
        <f>IF(F17=0,0,H17/F17)</f>
        <v/>
      </c>
      <c r="L17" s="13">
        <f>IF(H17=0,0,M17/H17)</f>
        <v/>
      </c>
      <c r="M17" s="35" t="n"/>
      <c r="N17" s="3" t="n"/>
    </row>
    <row r="18">
      <c r="A18" s="34" t="n">
        <v>45302</v>
      </c>
      <c r="B18" s="3" t="inlineStr">
        <is>
          <t>LinkedIn</t>
        </is>
      </c>
      <c r="C18" s="3" t="n"/>
      <c r="D18" s="3" t="n"/>
      <c r="E18" s="11">
        <f>IF(C18=0,0,D18/C18)</f>
        <v/>
      </c>
      <c r="F18" s="3" t="n"/>
      <c r="G18" s="11">
        <f>IF(D18=0,0,F18/D18)</f>
        <v/>
      </c>
      <c r="H18" s="35" t="n"/>
      <c r="I18" s="35">
        <f>IF(C18=0,0,(H18/C18)*1000)</f>
        <v/>
      </c>
      <c r="J18" s="35">
        <f>IF(D18=0,0,H18/D18)</f>
        <v/>
      </c>
      <c r="K18" s="35">
        <f>IF(F18=0,0,H18/F18)</f>
        <v/>
      </c>
      <c r="L18" s="13">
        <f>IF(H18=0,0,M18/H18)</f>
        <v/>
      </c>
      <c r="M18" s="35" t="n"/>
      <c r="N18" s="3" t="n"/>
    </row>
    <row r="19">
      <c r="A19" s="34" t="n">
        <v>45303</v>
      </c>
      <c r="B19" s="3" t="inlineStr">
        <is>
          <t>Snapchat</t>
        </is>
      </c>
      <c r="C19" s="3" t="n"/>
      <c r="D19" s="3" t="n"/>
      <c r="E19" s="11">
        <f>IF(C19=0,0,D19/C19)</f>
        <v/>
      </c>
      <c r="F19" s="3" t="n"/>
      <c r="G19" s="11">
        <f>IF(D19=0,0,F19/D19)</f>
        <v/>
      </c>
      <c r="H19" s="35" t="n"/>
      <c r="I19" s="35">
        <f>IF(C19=0,0,(H19/C19)*1000)</f>
        <v/>
      </c>
      <c r="J19" s="35">
        <f>IF(D19=0,0,H19/D19)</f>
        <v/>
      </c>
      <c r="K19" s="35">
        <f>IF(F19=0,0,H19/F19)</f>
        <v/>
      </c>
      <c r="L19" s="13">
        <f>IF(H19=0,0,M19/H19)</f>
        <v/>
      </c>
      <c r="M19" s="35" t="n"/>
      <c r="N19" s="3" t="n"/>
    </row>
    <row r="20">
      <c r="A20" s="34" t="n">
        <v>45304</v>
      </c>
      <c r="B20" s="3" t="inlineStr">
        <is>
          <t>Google Ads</t>
        </is>
      </c>
      <c r="C20" s="3" t="n"/>
      <c r="D20" s="3" t="n"/>
      <c r="E20" s="11">
        <f>IF(C20=0,0,D20/C20)</f>
        <v/>
      </c>
      <c r="F20" s="3" t="n"/>
      <c r="G20" s="11">
        <f>IF(D20=0,0,F20/D20)</f>
        <v/>
      </c>
      <c r="H20" s="35" t="n"/>
      <c r="I20" s="35">
        <f>IF(C20=0,0,(H20/C20)*1000)</f>
        <v/>
      </c>
      <c r="J20" s="35">
        <f>IF(D20=0,0,H20/D20)</f>
        <v/>
      </c>
      <c r="K20" s="35">
        <f>IF(F20=0,0,H20/F20)</f>
        <v/>
      </c>
      <c r="L20" s="13">
        <f>IF(H20=0,0,M20/H20)</f>
        <v/>
      </c>
      <c r="M20" s="35" t="n"/>
      <c r="N20" s="3" t="n"/>
    </row>
    <row r="21"/>
    <row r="22">
      <c r="A22" s="14" t="inlineStr">
        <is>
          <t>TOTALS</t>
        </is>
      </c>
      <c r="C22" s="14">
        <f>SUM(C8:C20)</f>
        <v/>
      </c>
      <c r="D22" s="14">
        <f>SUM(D8:D20)</f>
        <v/>
      </c>
      <c r="E22" s="15">
        <f>IF(C22=0,0,D22/C22)</f>
        <v/>
      </c>
      <c r="F22" s="14">
        <f>SUM(F8:F20)</f>
        <v/>
      </c>
      <c r="G22" s="15">
        <f>IF(D22=0,0,F22/D22)</f>
        <v/>
      </c>
      <c r="H22" s="14">
        <f>SUM(H8:H20)</f>
        <v/>
      </c>
      <c r="I22" s="36">
        <f>IF(C22=0,0,(H22/C22)*1000)</f>
        <v/>
      </c>
      <c r="J22" s="36">
        <f>IF(D22=0,0,H22/D22)</f>
        <v/>
      </c>
      <c r="K22" s="36">
        <f>IF(F22=0,0,H22/F22)</f>
        <v/>
      </c>
      <c r="L22" s="17">
        <f>IF(H22=0,0,M22/H22)</f>
        <v/>
      </c>
      <c r="M22" s="14">
        <f>SUM(M8:M20)</f>
        <v/>
      </c>
    </row>
    <row r="23"/>
    <row r="24">
      <c r="A24" s="18" t="inlineStr">
        <is>
          <t>PACING ANALYSIS</t>
        </is>
      </c>
      <c r="H24" s="18" t="inlineStr">
        <is>
          <t>PLATFORM BREAKDOWN</t>
        </is>
      </c>
    </row>
    <row r="25"/>
    <row r="26">
      <c r="A26" s="19" t="inlineStr">
        <is>
          <t>Metric</t>
        </is>
      </c>
      <c r="B26" s="19" t="inlineStr">
        <is>
          <t>Target</t>
        </is>
      </c>
      <c r="C26" s="19" t="inlineStr">
        <is>
          <t>Actual</t>
        </is>
      </c>
      <c r="D26" s="19" t="inlineStr">
        <is>
          <t>Variance</t>
        </is>
      </c>
      <c r="E26" s="19" t="inlineStr">
        <is>
          <t>% of Target</t>
        </is>
      </c>
      <c r="F26" s="19" t="inlineStr">
        <is>
          <t>Status</t>
        </is>
      </c>
      <c r="H26" s="19" t="inlineStr">
        <is>
          <t>Platform</t>
        </is>
      </c>
      <c r="I26" s="19" t="inlineStr">
        <is>
          <t>Impressions</t>
        </is>
      </c>
      <c r="J26" s="19" t="inlineStr">
        <is>
          <t>Clicks</t>
        </is>
      </c>
      <c r="K26" s="19" t="inlineStr">
        <is>
          <t>Conversions</t>
        </is>
      </c>
      <c r="L26" s="19" t="inlineStr">
        <is>
          <t>Spend</t>
        </is>
      </c>
      <c r="M26" s="19" t="inlineStr">
        <is>
          <t>CTR %</t>
        </is>
      </c>
      <c r="N26" s="19" t="inlineStr">
        <is>
          <t>CPA</t>
        </is>
      </c>
    </row>
    <row r="27">
      <c r="A27" t="inlineStr">
        <is>
          <t>Budget Spent</t>
        </is>
      </c>
      <c r="B27" s="37">
        <f>(F5/B5)*J4</f>
        <v/>
      </c>
      <c r="C27" s="37">
        <f>H22</f>
        <v/>
      </c>
      <c r="D27" s="37">
        <f>C27-B27</f>
        <v/>
      </c>
      <c r="E27" s="38">
        <f>IF(B27=0,0,C27/B27)</f>
        <v/>
      </c>
      <c r="F27" s="22">
        <f>IF(E27&gt;1.1,"Over Pacing",IF(E27&lt;0.9,"Under Pacing","On Track"))</f>
        <v/>
      </c>
      <c r="H27" t="inlineStr">
        <is>
          <t>Google Ads</t>
        </is>
      </c>
      <c r="I27">
        <f>SUMIF(B:B,H27,C:C)</f>
        <v/>
      </c>
      <c r="J27">
        <f>SUMIF(B:B,H27,D:D)</f>
        <v/>
      </c>
      <c r="K27">
        <f>SUMIF(B:B,H27,F:F)</f>
        <v/>
      </c>
      <c r="L27" s="37">
        <f>SUMIF(B:B,H27,H:H)</f>
        <v/>
      </c>
      <c r="M27" s="23">
        <f>IF(I27=0,0,J27/I27)</f>
        <v/>
      </c>
      <c r="N27" s="37">
        <f>IF(K27=0,0,L27/K27)</f>
        <v/>
      </c>
    </row>
    <row r="28">
      <c r="A28" t="inlineStr">
        <is>
          <t>Time Progress</t>
        </is>
      </c>
      <c r="B28" t="inlineStr">
        <is>
          <t>100%</t>
        </is>
      </c>
      <c r="C28" s="38">
        <f>F5/B5</f>
        <v/>
      </c>
      <c r="D28" s="38">
        <f>C28-100%</f>
        <v/>
      </c>
      <c r="E28" s="38">
        <f>C28</f>
        <v/>
      </c>
      <c r="F28" s="22">
        <f>IF(F5&gt;B5,"Completed","Active")</f>
        <v/>
      </c>
      <c r="H28" t="inlineStr">
        <is>
          <t>Meta</t>
        </is>
      </c>
      <c r="I28">
        <f>SUMIF(B:B,H28,C:C)</f>
        <v/>
      </c>
      <c r="J28">
        <f>SUMIF(B:B,H28,D:D)</f>
        <v/>
      </c>
      <c r="K28">
        <f>SUMIF(B:B,H28,F:F)</f>
        <v/>
      </c>
      <c r="L28" s="37">
        <f>SUMIF(B:B,H28,H:H)</f>
        <v/>
      </c>
      <c r="M28" s="23">
        <f>IF(I28=0,0,J28/I28)</f>
        <v/>
      </c>
      <c r="N28" s="37">
        <f>IF(K28=0,0,L28/K28)</f>
        <v/>
      </c>
    </row>
    <row r="29">
      <c r="A29" t="inlineStr">
        <is>
          <t>Budget Utilization</t>
        </is>
      </c>
      <c r="B29" s="37">
        <f>J4</f>
        <v/>
      </c>
      <c r="C29" s="37">
        <f>H22</f>
        <v/>
      </c>
      <c r="D29" s="37">
        <f>J4-H22</f>
        <v/>
      </c>
      <c r="E29" s="38">
        <f>IF(B29=0,0,C29/B29)</f>
        <v/>
      </c>
      <c r="F29" s="22">
        <f>IF(E29&gt;1,"Over Budget",IF(E29&gt;0.9,"Near Limit","Healthy"))</f>
        <v/>
      </c>
      <c r="H29" t="inlineStr">
        <is>
          <t>LinkedIn</t>
        </is>
      </c>
      <c r="I29">
        <f>SUMIF(B:B,H29,C:C)</f>
        <v/>
      </c>
      <c r="J29">
        <f>SUMIF(B:B,H29,D:D)</f>
        <v/>
      </c>
      <c r="K29">
        <f>SUMIF(B:B,H29,F:F)</f>
        <v/>
      </c>
      <c r="L29" s="37">
        <f>SUMIF(B:B,H29,H:H)</f>
        <v/>
      </c>
      <c r="M29" s="23">
        <f>IF(I29=0,0,J29/I29)</f>
        <v/>
      </c>
      <c r="N29" s="37">
        <f>IF(K29=0,0,L29/K29)</f>
        <v/>
      </c>
    </row>
    <row r="30">
      <c r="A30" s="2" t="inlineStr">
        <is>
          <t>Pacing Index</t>
        </is>
      </c>
      <c r="B30" s="2" t="inlineStr">
        <is>
          <t>1.0</t>
        </is>
      </c>
      <c r="C30" s="24">
        <f>IF(C28=0,0,E27/C28)</f>
        <v/>
      </c>
      <c r="D30" s="24">
        <f>C30-1</f>
        <v/>
      </c>
      <c r="E30" s="24">
        <f>C30</f>
        <v/>
      </c>
      <c r="F30" s="25">
        <f>IF(C30&gt;1.15,"Critical Over",IF(C30&gt;1.05,"Moderate Over",IF(C30&lt;0.85,"Critical Under",IF(C30&lt;0.95,"Moderate Under","Optimal"))))</f>
        <v/>
      </c>
      <c r="H30" t="inlineStr">
        <is>
          <t>Snapchat</t>
        </is>
      </c>
      <c r="I30">
        <f>SUMIF(B:B,H30,C:C)</f>
        <v/>
      </c>
      <c r="J30">
        <f>SUMIF(B:B,H30,D:D)</f>
        <v/>
      </c>
      <c r="K30">
        <f>SUMIF(B:B,H30,F:F)</f>
        <v/>
      </c>
      <c r="L30" s="37">
        <f>SUMIF(B:B,H30,H:H)</f>
        <v/>
      </c>
      <c r="M30" s="23">
        <f>IF(I30=0,0,J30/I30)</f>
        <v/>
      </c>
      <c r="N30" s="37">
        <f>IF(K30=0,0,L30/K30)</f>
        <v/>
      </c>
    </row>
  </sheetData>
  <mergeCells count="6">
    <mergeCell ref="A24:F24"/>
    <mergeCell ref="J3:K3"/>
    <mergeCell ref="B3:D3"/>
    <mergeCell ref="F3:H3"/>
    <mergeCell ref="H24:N2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</cols>
  <sheetData>
    <row r="1">
      <c r="A1" s="1" t="inlineStr">
        <is>
          <t>CAMPAIGN WEEKLY PACING DASHBOARD</t>
        </is>
      </c>
    </row>
    <row r="2"/>
    <row r="3">
      <c r="A3" s="2" t="inlineStr">
        <is>
          <t>Campaign Name:</t>
        </is>
      </c>
      <c r="B3" s="26">
        <f>'Daily Pacing'!B3</f>
        <v/>
      </c>
      <c r="E3" s="2" t="inlineStr">
        <is>
          <t>Platform:</t>
        </is>
      </c>
      <c r="F3" s="26">
        <f>'Daily Pacing'!F3</f>
        <v/>
      </c>
      <c r="I3" s="2" t="inlineStr">
        <is>
          <t>Campaign ID:</t>
        </is>
      </c>
      <c r="J3" s="26">
        <f>'Daily Pacing'!J3</f>
        <v/>
      </c>
    </row>
    <row r="4">
      <c r="A4" s="2" t="inlineStr">
        <is>
          <t>Start Date:</t>
        </is>
      </c>
      <c r="B4" s="39">
        <f>'Daily Pacing'!B4</f>
        <v/>
      </c>
      <c r="E4" s="2" t="inlineStr">
        <is>
          <t>End Date:</t>
        </is>
      </c>
      <c r="F4" s="39">
        <f>'Daily Pacing'!F4</f>
        <v/>
      </c>
      <c r="I4" s="2" t="inlineStr">
        <is>
          <t>Total Budget:</t>
        </is>
      </c>
      <c r="J4" s="40">
        <f>'Daily Pacing'!J4</f>
        <v/>
      </c>
    </row>
    <row r="5">
      <c r="A5" s="2" t="inlineStr">
        <is>
          <t>Total Weeks:</t>
        </is>
      </c>
      <c r="B5" s="29">
        <f>ROUNDUP((F4-B4+1)/7,0)</f>
        <v/>
      </c>
      <c r="E5" s="2" t="inlineStr">
        <is>
          <t>Current Week:</t>
        </is>
      </c>
      <c r="F5" s="29">
        <f>ROUNDUP((TODAY()-B4+1)/7,0)</f>
        <v/>
      </c>
      <c r="I5" s="2" t="inlineStr">
        <is>
          <t>Weeks Remaining:</t>
        </is>
      </c>
      <c r="J5" s="29">
        <f>B5-F5</f>
        <v/>
      </c>
    </row>
    <row r="6"/>
    <row r="7">
      <c r="A7" s="9" t="inlineStr">
        <is>
          <t>Week #</t>
        </is>
      </c>
      <c r="B7" s="9" t="inlineStr">
        <is>
          <t>Week Start</t>
        </is>
      </c>
      <c r="C7" s="9" t="inlineStr">
        <is>
          <t>Week End</t>
        </is>
      </c>
      <c r="D7" s="9" t="inlineStr">
        <is>
          <t>Platform</t>
        </is>
      </c>
      <c r="E7" s="9" t="inlineStr">
        <is>
          <t>Impressions</t>
        </is>
      </c>
      <c r="F7" s="9" t="inlineStr">
        <is>
          <t>Clicks</t>
        </is>
      </c>
      <c r="G7" s="9" t="inlineStr">
        <is>
          <t>CTR %</t>
        </is>
      </c>
      <c r="H7" s="9" t="inlineStr">
        <is>
          <t>Conversions</t>
        </is>
      </c>
      <c r="I7" s="9" t="inlineStr">
        <is>
          <t>Conv Rate %</t>
        </is>
      </c>
      <c r="J7" s="9" t="inlineStr">
        <is>
          <t>Spend</t>
        </is>
      </c>
      <c r="K7" s="9" t="inlineStr">
        <is>
          <t>CPM</t>
        </is>
      </c>
      <c r="L7" s="9" t="inlineStr">
        <is>
          <t>CPC</t>
        </is>
      </c>
      <c r="M7" s="9" t="inlineStr">
        <is>
          <t>CPA</t>
        </is>
      </c>
      <c r="N7" s="9" t="inlineStr">
        <is>
          <t>ROAS</t>
        </is>
      </c>
      <c r="O7" s="9" t="inlineStr">
        <is>
          <t>Notes</t>
        </is>
      </c>
    </row>
    <row r="8">
      <c r="A8" s="22" t="n">
        <v>1</v>
      </c>
      <c r="B8" s="34" t="n">
        <v>45292</v>
      </c>
      <c r="C8" s="34" t="n">
        <v>45298</v>
      </c>
      <c r="D8" s="3" t="inlineStr">
        <is>
          <t>All Platforms</t>
        </is>
      </c>
      <c r="E8" s="3" t="n"/>
      <c r="F8" s="3" t="n"/>
      <c r="G8" s="11">
        <f>IF(E8=0,0,F8/E8)</f>
        <v/>
      </c>
      <c r="H8" s="3" t="n"/>
      <c r="I8" s="11">
        <f>IF(F8=0,0,H8/F8)</f>
        <v/>
      </c>
      <c r="J8" s="35" t="n"/>
      <c r="K8" s="35">
        <f>IF(E8=0,0,(J8/E8)*1000)</f>
        <v/>
      </c>
      <c r="L8" s="35">
        <f>IF(F8=0,0,J8/F8)</f>
        <v/>
      </c>
      <c r="M8" s="35">
        <f>IF(H8=0,0,J8/H8)</f>
        <v/>
      </c>
      <c r="N8" s="13">
        <f>IF(J8=0,0,O8/J8)</f>
        <v/>
      </c>
      <c r="O8" s="3" t="n"/>
    </row>
    <row r="9">
      <c r="A9" s="22" t="n">
        <v>2</v>
      </c>
      <c r="B9" s="34" t="n">
        <v>45299</v>
      </c>
      <c r="C9" s="34" t="n">
        <v>45305</v>
      </c>
      <c r="D9" s="3" t="inlineStr">
        <is>
          <t>All Platforms</t>
        </is>
      </c>
      <c r="E9" s="3" t="n"/>
      <c r="F9" s="3" t="n"/>
      <c r="G9" s="11">
        <f>IF(E9=0,0,F9/E9)</f>
        <v/>
      </c>
      <c r="H9" s="3" t="n"/>
      <c r="I9" s="11">
        <f>IF(F9=0,0,H9/F9)</f>
        <v/>
      </c>
      <c r="J9" s="35" t="n"/>
      <c r="K9" s="35">
        <f>IF(E9=0,0,(J9/E9)*1000)</f>
        <v/>
      </c>
      <c r="L9" s="35">
        <f>IF(F9=0,0,J9/F9)</f>
        <v/>
      </c>
      <c r="M9" s="35">
        <f>IF(H9=0,0,J9/H9)</f>
        <v/>
      </c>
      <c r="N9" s="13">
        <f>IF(J9=0,0,O9/J9)</f>
        <v/>
      </c>
      <c r="O9" s="3" t="n"/>
    </row>
    <row r="10">
      <c r="A10" s="22" t="n">
        <v>3</v>
      </c>
      <c r="B10" s="34" t="n">
        <v>45306</v>
      </c>
      <c r="C10" s="34" t="n">
        <v>45312</v>
      </c>
      <c r="D10" s="3" t="inlineStr">
        <is>
          <t>All Platforms</t>
        </is>
      </c>
      <c r="E10" s="3" t="n"/>
      <c r="F10" s="3" t="n"/>
      <c r="G10" s="11">
        <f>IF(E10=0,0,F10/E10)</f>
        <v/>
      </c>
      <c r="H10" s="3" t="n"/>
      <c r="I10" s="11">
        <f>IF(F10=0,0,H10/F10)</f>
        <v/>
      </c>
      <c r="J10" s="35" t="n"/>
      <c r="K10" s="35">
        <f>IF(E10=0,0,(J10/E10)*1000)</f>
        <v/>
      </c>
      <c r="L10" s="35">
        <f>IF(F10=0,0,J10/F10)</f>
        <v/>
      </c>
      <c r="M10" s="35">
        <f>IF(H10=0,0,J10/H10)</f>
        <v/>
      </c>
      <c r="N10" s="13">
        <f>IF(J10=0,0,O10/J10)</f>
        <v/>
      </c>
      <c r="O10" s="3" t="n"/>
    </row>
    <row r="11">
      <c r="A11" s="22" t="n">
        <v>4</v>
      </c>
      <c r="B11" s="34" t="n">
        <v>45313</v>
      </c>
      <c r="C11" s="34" t="n">
        <v>45319</v>
      </c>
      <c r="D11" s="3" t="inlineStr">
        <is>
          <t>All Platforms</t>
        </is>
      </c>
      <c r="E11" s="3" t="n"/>
      <c r="F11" s="3" t="n"/>
      <c r="G11" s="11">
        <f>IF(E11=0,0,F11/E11)</f>
        <v/>
      </c>
      <c r="H11" s="3" t="n"/>
      <c r="I11" s="11">
        <f>IF(F11=0,0,H11/F11)</f>
        <v/>
      </c>
      <c r="J11" s="35" t="n"/>
      <c r="K11" s="35">
        <f>IF(E11=0,0,(J11/E11)*1000)</f>
        <v/>
      </c>
      <c r="L11" s="35">
        <f>IF(F11=0,0,J11/F11)</f>
        <v/>
      </c>
      <c r="M11" s="35">
        <f>IF(H11=0,0,J11/H11)</f>
        <v/>
      </c>
      <c r="N11" s="13">
        <f>IF(J11=0,0,O11/J11)</f>
        <v/>
      </c>
      <c r="O11" s="3" t="n"/>
    </row>
    <row r="12">
      <c r="A12" s="22" t="n">
        <v>5</v>
      </c>
      <c r="B12" s="34" t="n">
        <v>45320</v>
      </c>
      <c r="C12" s="34" t="n">
        <v>45326</v>
      </c>
      <c r="D12" s="3" t="inlineStr">
        <is>
          <t>All Platforms</t>
        </is>
      </c>
      <c r="E12" s="3" t="n"/>
      <c r="F12" s="3" t="n"/>
      <c r="G12" s="11">
        <f>IF(E12=0,0,F12/E12)</f>
        <v/>
      </c>
      <c r="H12" s="3" t="n"/>
      <c r="I12" s="11">
        <f>IF(F12=0,0,H12/F12)</f>
        <v/>
      </c>
      <c r="J12" s="35" t="n"/>
      <c r="K12" s="35">
        <f>IF(E12=0,0,(J12/E12)*1000)</f>
        <v/>
      </c>
      <c r="L12" s="35">
        <f>IF(F12=0,0,J12/F12)</f>
        <v/>
      </c>
      <c r="M12" s="35">
        <f>IF(H12=0,0,J12/H12)</f>
        <v/>
      </c>
      <c r="N12" s="13">
        <f>IF(J12=0,0,O12/J12)</f>
        <v/>
      </c>
      <c r="O12" s="3" t="n"/>
    </row>
    <row r="13">
      <c r="A13" s="22" t="n">
        <v>6</v>
      </c>
      <c r="B13" s="34" t="n">
        <v>45327</v>
      </c>
      <c r="C13" s="34" t="n">
        <v>45333</v>
      </c>
      <c r="D13" s="3" t="inlineStr">
        <is>
          <t>All Platforms</t>
        </is>
      </c>
      <c r="E13" s="3" t="n"/>
      <c r="F13" s="3" t="n"/>
      <c r="G13" s="11">
        <f>IF(E13=0,0,F13/E13)</f>
        <v/>
      </c>
      <c r="H13" s="3" t="n"/>
      <c r="I13" s="11">
        <f>IF(F13=0,0,H13/F13)</f>
        <v/>
      </c>
      <c r="J13" s="35" t="n"/>
      <c r="K13" s="35">
        <f>IF(E13=0,0,(J13/E13)*1000)</f>
        <v/>
      </c>
      <c r="L13" s="35">
        <f>IF(F13=0,0,J13/F13)</f>
        <v/>
      </c>
      <c r="M13" s="35">
        <f>IF(H13=0,0,J13/H13)</f>
        <v/>
      </c>
      <c r="N13" s="13">
        <f>IF(J13=0,0,O13/J13)</f>
        <v/>
      </c>
      <c r="O13" s="3" t="n"/>
    </row>
    <row r="14">
      <c r="A14" s="22" t="n">
        <v>7</v>
      </c>
      <c r="B14" s="34" t="n">
        <v>45334</v>
      </c>
      <c r="C14" s="34" t="n">
        <v>45340</v>
      </c>
      <c r="D14" s="3" t="inlineStr">
        <is>
          <t>All Platforms</t>
        </is>
      </c>
      <c r="E14" s="3" t="n"/>
      <c r="F14" s="3" t="n"/>
      <c r="G14" s="11">
        <f>IF(E14=0,0,F14/E14)</f>
        <v/>
      </c>
      <c r="H14" s="3" t="n"/>
      <c r="I14" s="11">
        <f>IF(F14=0,0,H14/F14)</f>
        <v/>
      </c>
      <c r="J14" s="35" t="n"/>
      <c r="K14" s="35">
        <f>IF(E14=0,0,(J14/E14)*1000)</f>
        <v/>
      </c>
      <c r="L14" s="35">
        <f>IF(F14=0,0,J14/F14)</f>
        <v/>
      </c>
      <c r="M14" s="35">
        <f>IF(H14=0,0,J14/H14)</f>
        <v/>
      </c>
      <c r="N14" s="13">
        <f>IF(J14=0,0,O14/J14)</f>
        <v/>
      </c>
      <c r="O14" s="3" t="n"/>
    </row>
    <row r="15">
      <c r="A15" s="22" t="n">
        <v>8</v>
      </c>
      <c r="B15" s="34" t="n">
        <v>45341</v>
      </c>
      <c r="C15" s="34" t="n">
        <v>45347</v>
      </c>
      <c r="D15" s="3" t="inlineStr">
        <is>
          <t>All Platforms</t>
        </is>
      </c>
      <c r="E15" s="3" t="n"/>
      <c r="F15" s="3" t="n"/>
      <c r="G15" s="11">
        <f>IF(E15=0,0,F15/E15)</f>
        <v/>
      </c>
      <c r="H15" s="3" t="n"/>
      <c r="I15" s="11">
        <f>IF(F15=0,0,H15/F15)</f>
        <v/>
      </c>
      <c r="J15" s="35" t="n"/>
      <c r="K15" s="35">
        <f>IF(E15=0,0,(J15/E15)*1000)</f>
        <v/>
      </c>
      <c r="L15" s="35">
        <f>IF(F15=0,0,J15/F15)</f>
        <v/>
      </c>
      <c r="M15" s="35">
        <f>IF(H15=0,0,J15/H15)</f>
        <v/>
      </c>
      <c r="N15" s="13">
        <f>IF(J15=0,0,O15/J15)</f>
        <v/>
      </c>
      <c r="O15" s="3" t="n"/>
    </row>
    <row r="16"/>
    <row r="17">
      <c r="A17" s="14" t="inlineStr">
        <is>
          <t>TOTALS</t>
        </is>
      </c>
      <c r="E17" s="14">
        <f>SUM(E8:E15)</f>
        <v/>
      </c>
      <c r="F17" s="14">
        <f>SUM(F8:F15)</f>
        <v/>
      </c>
      <c r="G17" s="15">
        <f>IF(E17=0,0,F17/E17)</f>
        <v/>
      </c>
      <c r="H17" s="14">
        <f>SUM(H8:H15)</f>
        <v/>
      </c>
      <c r="I17" s="15">
        <f>IF(F17=0,0,H17/F17)</f>
        <v/>
      </c>
      <c r="J17" s="14">
        <f>SUM(J8:J15)</f>
        <v/>
      </c>
      <c r="K17" s="36">
        <f>IF(E17=0,0,(J17/E17)*1000)</f>
        <v/>
      </c>
      <c r="L17" s="36">
        <f>IF(F17=0,0,J17/F17)</f>
        <v/>
      </c>
      <c r="M17" s="36">
        <f>IF(H17=0,0,J17/H17)</f>
        <v/>
      </c>
      <c r="N17" s="17">
        <f>IF(J17=0,0,O17/J17)</f>
        <v/>
      </c>
    </row>
    <row r="18"/>
    <row r="19">
      <c r="A19" s="18" t="inlineStr">
        <is>
          <t>WEEKLY PACING ANALYSIS</t>
        </is>
      </c>
      <c r="H19" s="18" t="inlineStr">
        <is>
          <t>WEEK-OVER-WEEK TRENDS</t>
        </is>
      </c>
    </row>
    <row r="20"/>
    <row r="21">
      <c r="A21" s="19" t="inlineStr">
        <is>
          <t>Metric</t>
        </is>
      </c>
      <c r="B21" s="19" t="inlineStr">
        <is>
          <t>Target</t>
        </is>
      </c>
      <c r="C21" s="19" t="inlineStr">
        <is>
          <t>Actual</t>
        </is>
      </c>
      <c r="D21" s="19" t="inlineStr">
        <is>
          <t>Variance</t>
        </is>
      </c>
      <c r="E21" s="19" t="inlineStr">
        <is>
          <t>% of Target</t>
        </is>
      </c>
      <c r="F21" s="19" t="inlineStr">
        <is>
          <t>Status</t>
        </is>
      </c>
      <c r="H21" s="19" t="inlineStr">
        <is>
          <t>Week</t>
        </is>
      </c>
      <c r="I21" s="19" t="inlineStr">
        <is>
          <t>Spend</t>
        </is>
      </c>
      <c r="J21" s="19" t="inlineStr">
        <is>
          <t>WoW Change</t>
        </is>
      </c>
      <c r="K21" s="19" t="inlineStr">
        <is>
          <t>Conversions</t>
        </is>
      </c>
      <c r="L21" s="19" t="inlineStr">
        <is>
          <t>WoW Change</t>
        </is>
      </c>
      <c r="M21" s="19" t="inlineStr">
        <is>
          <t>CPA</t>
        </is>
      </c>
      <c r="N21" s="19" t="inlineStr">
        <is>
          <t>WoW Change</t>
        </is>
      </c>
      <c r="O21" s="19" t="inlineStr">
        <is>
          <t>ROAS</t>
        </is>
      </c>
    </row>
    <row r="22">
      <c r="A22" t="inlineStr">
        <is>
          <t>Budget Spent</t>
        </is>
      </c>
      <c r="B22" s="37">
        <f>(F5/B5)*J4</f>
        <v/>
      </c>
      <c r="C22" s="37">
        <f>J17</f>
        <v/>
      </c>
      <c r="D22" s="37">
        <f>C22-B22</f>
        <v/>
      </c>
      <c r="E22" s="38">
        <f>IF(B22=0,0,C22/B22)</f>
        <v/>
      </c>
      <c r="F22" s="22">
        <f>IF(E22&gt;1.1,"Over Pacing",IF(E22&lt;0.9,"Under Pacing","On Track"))</f>
        <v/>
      </c>
      <c r="H22" s="22" t="inlineStr">
        <is>
          <t>Week 1</t>
        </is>
      </c>
      <c r="I22" s="41">
        <f>J8</f>
        <v/>
      </c>
      <c r="K22">
        <f>H8</f>
        <v/>
      </c>
      <c r="M22" s="37">
        <f>M8</f>
        <v/>
      </c>
      <c r="O22" s="31">
        <f>N8</f>
        <v/>
      </c>
    </row>
    <row r="23">
      <c r="A23" t="inlineStr">
        <is>
          <t>Week Progress</t>
        </is>
      </c>
      <c r="B23" t="inlineStr">
        <is>
          <t>100%</t>
        </is>
      </c>
      <c r="C23" s="38">
        <f>F5/B5</f>
        <v/>
      </c>
      <c r="D23" s="38">
        <f>C23-100%</f>
        <v/>
      </c>
      <c r="E23" s="38">
        <f>C23</f>
        <v/>
      </c>
      <c r="F23" s="22">
        <f>IF(F5&gt;B5,"Completed","Active")</f>
        <v/>
      </c>
      <c r="H23" s="22" t="inlineStr">
        <is>
          <t>Week 2</t>
        </is>
      </c>
      <c r="I23" s="41">
        <f>J9</f>
        <v/>
      </c>
      <c r="J23" s="38">
        <f>IF(I22=0,0,(I23-I22)/I22)</f>
        <v/>
      </c>
      <c r="K23">
        <f>H9</f>
        <v/>
      </c>
      <c r="L23" s="38">
        <f>IF(K22=0,0,(K23-K22)/K22)</f>
        <v/>
      </c>
      <c r="M23" s="37">
        <f>M9</f>
        <v/>
      </c>
      <c r="N23" s="38">
        <f>IF(M22=0,0,(M23-M22)/M22)</f>
        <v/>
      </c>
      <c r="O23" s="31">
        <f>N9</f>
        <v/>
      </c>
    </row>
    <row r="24">
      <c r="A24" t="inlineStr">
        <is>
          <t>Avg Weekly Spend</t>
        </is>
      </c>
      <c r="B24" s="37">
        <f>J4/B5</f>
        <v/>
      </c>
      <c r="C24" s="37">
        <f>J17/F5</f>
        <v/>
      </c>
      <c r="D24" s="37">
        <f>C24-B24</f>
        <v/>
      </c>
      <c r="E24" s="38">
        <f>IF(B24=0,0,C24/B24)</f>
        <v/>
      </c>
      <c r="F24" s="22">
        <f>IF(E24&gt;1.1,"Over",IF(E24&lt;0.9,"Under","Normal"))</f>
        <v/>
      </c>
      <c r="H24" s="22" t="inlineStr">
        <is>
          <t>Week 3</t>
        </is>
      </c>
      <c r="I24" s="41">
        <f>J10</f>
        <v/>
      </c>
      <c r="J24" s="38">
        <f>IF(I23=0,0,(I24-I23)/I23)</f>
        <v/>
      </c>
      <c r="K24">
        <f>H10</f>
        <v/>
      </c>
      <c r="L24" s="38">
        <f>IF(K23=0,0,(K24-K23)/K23)</f>
        <v/>
      </c>
      <c r="M24" s="37">
        <f>M10</f>
        <v/>
      </c>
      <c r="N24" s="38">
        <f>IF(M23=0,0,(M24-M23)/M23)</f>
        <v/>
      </c>
      <c r="O24" s="31">
        <f>N10</f>
        <v/>
      </c>
    </row>
    <row r="25">
      <c r="A25" s="2" t="inlineStr">
        <is>
          <t>Pacing Index</t>
        </is>
      </c>
      <c r="B25" s="2" t="inlineStr">
        <is>
          <t>1.0</t>
        </is>
      </c>
      <c r="C25" s="24">
        <f>IF(C23=0,0,E22/C23)</f>
        <v/>
      </c>
      <c r="D25" s="24">
        <f>C25-1</f>
        <v/>
      </c>
      <c r="E25" s="24">
        <f>C25</f>
        <v/>
      </c>
      <c r="F25" s="25">
        <f>IF(C25&gt;1.15,"Critical Over",IF(C25&gt;1.05,"Moderate Over",IF(C25&lt;0.85,"Critical Under",IF(C25&lt;0.95,"Moderate Under","Optimal"))))</f>
        <v/>
      </c>
      <c r="H25" s="22" t="inlineStr">
        <is>
          <t>Week 4</t>
        </is>
      </c>
      <c r="I25" s="41">
        <f>J11</f>
        <v/>
      </c>
      <c r="J25" s="38">
        <f>IF(I24=0,0,(I25-I24)/I24)</f>
        <v/>
      </c>
      <c r="K25">
        <f>H11</f>
        <v/>
      </c>
      <c r="L25" s="38">
        <f>IF(K24=0,0,(K25-K24)/K24)</f>
        <v/>
      </c>
      <c r="M25" s="37">
        <f>M11</f>
        <v/>
      </c>
      <c r="N25" s="38">
        <f>IF(M24=0,0,(M25-M24)/M24)</f>
        <v/>
      </c>
      <c r="O25" s="31">
        <f>N11</f>
        <v/>
      </c>
    </row>
    <row r="26">
      <c r="H26" s="22" t="inlineStr">
        <is>
          <t>Week 5</t>
        </is>
      </c>
      <c r="I26" s="41">
        <f>J12</f>
        <v/>
      </c>
      <c r="J26" s="38">
        <f>IF(I25=0,0,(I26-I25)/I25)</f>
        <v/>
      </c>
      <c r="K26">
        <f>H12</f>
        <v/>
      </c>
      <c r="L26" s="38">
        <f>IF(K25=0,0,(K26-K25)/K25)</f>
        <v/>
      </c>
      <c r="M26" s="37">
        <f>M12</f>
        <v/>
      </c>
      <c r="N26" s="38">
        <f>IF(M25=0,0,(M26-M25)/M25)</f>
        <v/>
      </c>
      <c r="O26" s="31">
        <f>N12</f>
        <v/>
      </c>
    </row>
    <row r="27">
      <c r="H27" s="22" t="inlineStr">
        <is>
          <t>Week 6</t>
        </is>
      </c>
      <c r="I27" s="41">
        <f>J13</f>
        <v/>
      </c>
      <c r="J27" s="38">
        <f>IF(I26=0,0,(I27-I26)/I26)</f>
        <v/>
      </c>
      <c r="K27">
        <f>H13</f>
        <v/>
      </c>
      <c r="L27" s="38">
        <f>IF(K26=0,0,(K27-K26)/K26)</f>
        <v/>
      </c>
      <c r="M27" s="37">
        <f>M13</f>
        <v/>
      </c>
      <c r="N27" s="38">
        <f>IF(M26=0,0,(M27-M26)/M26)</f>
        <v/>
      </c>
      <c r="O27" s="31">
        <f>N13</f>
        <v/>
      </c>
    </row>
    <row r="28">
      <c r="H28" s="22" t="inlineStr">
        <is>
          <t>Week 7</t>
        </is>
      </c>
      <c r="I28" s="41">
        <f>J14</f>
        <v/>
      </c>
      <c r="J28" s="38">
        <f>IF(I27=0,0,(I28-I27)/I27)</f>
        <v/>
      </c>
      <c r="K28">
        <f>H14</f>
        <v/>
      </c>
      <c r="L28" s="38">
        <f>IF(K27=0,0,(K28-K27)/K27)</f>
        <v/>
      </c>
      <c r="M28" s="37">
        <f>M14</f>
        <v/>
      </c>
      <c r="N28" s="38">
        <f>IF(M27=0,0,(M28-M27)/M27)</f>
        <v/>
      </c>
      <c r="O28" s="31">
        <f>N14</f>
        <v/>
      </c>
    </row>
    <row r="29">
      <c r="H29" s="22" t="inlineStr">
        <is>
          <t>Week 8</t>
        </is>
      </c>
      <c r="I29" s="41">
        <f>J15</f>
        <v/>
      </c>
      <c r="J29" s="38">
        <f>IF(I28=0,0,(I29-I28)/I28)</f>
        <v/>
      </c>
      <c r="K29">
        <f>H15</f>
        <v/>
      </c>
      <c r="L29" s="38">
        <f>IF(K28=0,0,(K29-K28)/K28)</f>
        <v/>
      </c>
      <c r="M29" s="37">
        <f>M15</f>
        <v/>
      </c>
      <c r="N29" s="38">
        <f>IF(M28=0,0,(M29-M28)/M28)</f>
        <v/>
      </c>
      <c r="O29" s="31">
        <f>N15</f>
        <v/>
      </c>
    </row>
  </sheetData>
  <mergeCells count="7">
    <mergeCell ref="J3:K3"/>
    <mergeCell ref="B3:D3"/>
    <mergeCell ref="A17:D17"/>
    <mergeCell ref="A19:F19"/>
    <mergeCell ref="A1:O1"/>
    <mergeCell ref="F3:H3"/>
    <mergeCell ref="H19:O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35" customWidth="1" min="4" max="4"/>
  </cols>
  <sheetData>
    <row r="1">
      <c r="A1" s="1" t="inlineStr">
        <is>
          <t>DATA DICTIONARY &amp; AI AGENT GUIDE</t>
        </is>
      </c>
    </row>
    <row r="2"/>
    <row r="3">
      <c r="A3" s="19" t="inlineStr">
        <is>
          <t>Field Name</t>
        </is>
      </c>
      <c r="B3" s="19" t="inlineStr">
        <is>
          <t>Description</t>
        </is>
      </c>
      <c r="C3" s="19" t="inlineStr">
        <is>
          <t>Data Type</t>
        </is>
      </c>
      <c r="D3" s="19" t="inlineStr">
        <is>
          <t>Formula/Notes</t>
        </is>
      </c>
    </row>
    <row r="4">
      <c r="A4" t="inlineStr">
        <is>
          <t>Impressions</t>
        </is>
      </c>
      <c r="B4" t="inlineStr">
        <is>
          <t>Number of times ad was displayed</t>
        </is>
      </c>
      <c r="C4" t="inlineStr">
        <is>
          <t>Integer</t>
        </is>
      </c>
      <c r="D4" t="inlineStr">
        <is>
          <t>Sum from platform</t>
        </is>
      </c>
    </row>
    <row r="5">
      <c r="A5" t="inlineStr">
        <is>
          <t>Clicks</t>
        </is>
      </c>
      <c r="B5" t="inlineStr">
        <is>
          <t>Number of ad clicks</t>
        </is>
      </c>
      <c r="C5" t="inlineStr">
        <is>
          <t>Integer</t>
        </is>
      </c>
      <c r="D5" t="inlineStr">
        <is>
          <t>Sum from platform</t>
        </is>
      </c>
    </row>
    <row r="6">
      <c r="A6" t="inlineStr">
        <is>
          <t>CTR %</t>
        </is>
      </c>
      <c r="B6" t="inlineStr">
        <is>
          <t>Click-through rate</t>
        </is>
      </c>
      <c r="C6" t="inlineStr">
        <is>
          <t>Percentage</t>
        </is>
      </c>
      <c r="D6">
        <f>Clicks/Impressions</f>
        <v/>
      </c>
    </row>
    <row r="7">
      <c r="A7" t="inlineStr">
        <is>
          <t>Conversions</t>
        </is>
      </c>
      <c r="B7" t="inlineStr">
        <is>
          <t>Number of conversions</t>
        </is>
      </c>
      <c r="C7" t="inlineStr">
        <is>
          <t>Integer</t>
        </is>
      </c>
      <c r="D7" t="inlineStr">
        <is>
          <t>Sum from platform</t>
        </is>
      </c>
    </row>
    <row r="8">
      <c r="A8" t="inlineStr">
        <is>
          <t>Conv Rate %</t>
        </is>
      </c>
      <c r="B8" t="inlineStr">
        <is>
          <t>Conversion rate</t>
        </is>
      </c>
      <c r="C8" t="inlineStr">
        <is>
          <t>Percentage</t>
        </is>
      </c>
      <c r="D8">
        <f>Conversions/Clicks</f>
        <v/>
      </c>
    </row>
    <row r="9">
      <c r="A9" t="inlineStr">
        <is>
          <t>Spend</t>
        </is>
      </c>
      <c r="B9" t="inlineStr">
        <is>
          <t>Total ad spend</t>
        </is>
      </c>
      <c r="C9" t="inlineStr">
        <is>
          <t>Currency</t>
        </is>
      </c>
      <c r="D9" t="inlineStr">
        <is>
          <t>Sum from platform</t>
        </is>
      </c>
    </row>
    <row r="10">
      <c r="A10" t="inlineStr">
        <is>
          <t>CPM</t>
        </is>
      </c>
      <c r="B10" t="inlineStr">
        <is>
          <t>Cost per thousand impressions</t>
        </is>
      </c>
      <c r="C10" t="inlineStr">
        <is>
          <t>Currency</t>
        </is>
      </c>
      <c r="D10">
        <f>(Spend/Impressions)*1000</f>
        <v/>
      </c>
    </row>
    <row r="11">
      <c r="A11" t="inlineStr">
        <is>
          <t>CPC</t>
        </is>
      </c>
      <c r="B11" t="inlineStr">
        <is>
          <t>Cost per click</t>
        </is>
      </c>
      <c r="C11" t="inlineStr">
        <is>
          <t>Currency</t>
        </is>
      </c>
      <c r="D11">
        <f>Spend/Clicks</f>
        <v/>
      </c>
    </row>
    <row r="12">
      <c r="A12" t="inlineStr">
        <is>
          <t>CPA</t>
        </is>
      </c>
      <c r="B12" t="inlineStr">
        <is>
          <t>Cost per acquisition</t>
        </is>
      </c>
      <c r="C12" t="inlineStr">
        <is>
          <t>Currency</t>
        </is>
      </c>
      <c r="D12">
        <f>Spend/Conversions</f>
        <v/>
      </c>
    </row>
    <row r="13">
      <c r="A13" t="inlineStr">
        <is>
          <t>ROAS</t>
        </is>
      </c>
      <c r="B13" t="inlineStr">
        <is>
          <t>Return on ad spend</t>
        </is>
      </c>
      <c r="C13" t="inlineStr">
        <is>
          <t>Decimal</t>
        </is>
      </c>
      <c r="D13">
        <f>Revenue/Spend</f>
        <v/>
      </c>
    </row>
    <row r="14">
      <c r="A14" t="inlineStr">
        <is>
          <t>Revenue</t>
        </is>
      </c>
      <c r="B14" t="inlineStr">
        <is>
          <t>Total revenue generated</t>
        </is>
      </c>
      <c r="C14" t="inlineStr">
        <is>
          <t>Currency</t>
        </is>
      </c>
      <c r="D14" t="inlineStr">
        <is>
          <t>From conversion tracking</t>
        </is>
      </c>
    </row>
    <row r="15">
      <c r="A15" t="inlineStr">
        <is>
          <t>Pacing Index</t>
        </is>
      </c>
      <c r="B15" t="inlineStr">
        <is>
          <t>Budget pacing indicator</t>
        </is>
      </c>
      <c r="C15" t="inlineStr">
        <is>
          <t>Decimal</t>
        </is>
      </c>
      <c r="D15">
        <f>(% Budget Spent)/(% Time Elapsed)</f>
        <v/>
      </c>
    </row>
    <row r="16">
      <c r="A16" s="2" t="inlineStr"/>
    </row>
    <row r="17">
      <c r="A17" s="2" t="inlineStr">
        <is>
          <t>PACING INDEX GUIDE</t>
        </is>
      </c>
    </row>
    <row r="18">
      <c r="A18" t="inlineStr">
        <is>
          <t>&gt; 1.15</t>
        </is>
      </c>
      <c r="B18" t="inlineStr">
        <is>
          <t>Critical Over-pacing</t>
        </is>
      </c>
      <c r="D18" t="inlineStr">
        <is>
          <t>Immediate action needed</t>
        </is>
      </c>
    </row>
    <row r="19">
      <c r="A19" t="inlineStr">
        <is>
          <t>1.05 - 1.15</t>
        </is>
      </c>
      <c r="B19" t="inlineStr">
        <is>
          <t>Moderate Over-pacing</t>
        </is>
      </c>
      <c r="D19" t="inlineStr">
        <is>
          <t>Monitor closely</t>
        </is>
      </c>
    </row>
    <row r="20">
      <c r="A20" t="inlineStr">
        <is>
          <t>0.95 - 1.05</t>
        </is>
      </c>
      <c r="B20" t="inlineStr">
        <is>
          <t>Optimal Pacing</t>
        </is>
      </c>
      <c r="D20" t="inlineStr">
        <is>
          <t>On track</t>
        </is>
      </c>
    </row>
    <row r="21">
      <c r="A21" t="inlineStr">
        <is>
          <t>0.85 - 0.95</t>
        </is>
      </c>
      <c r="B21" t="inlineStr">
        <is>
          <t>Moderate Under-pacing</t>
        </is>
      </c>
      <c r="D21" t="inlineStr">
        <is>
          <t>Consider increasing spend</t>
        </is>
      </c>
    </row>
    <row r="22">
      <c r="A22" t="inlineStr">
        <is>
          <t>&lt; 0.85</t>
        </is>
      </c>
      <c r="B22" t="inlineStr">
        <is>
          <t>Critical Under-pacing</t>
        </is>
      </c>
      <c r="D22" t="inlineStr">
        <is>
          <t>Significant underspend</t>
        </is>
      </c>
    </row>
    <row r="23"/>
    <row r="24">
      <c r="A24" s="18" t="inlineStr">
        <is>
          <t>AI AGENT INPUT GUIDELINES</t>
        </is>
      </c>
    </row>
    <row r="25"/>
    <row r="26">
      <c r="A26" s="19" t="inlineStr">
        <is>
          <t>Sheet</t>
        </is>
      </c>
      <c r="B26" s="19" t="inlineStr">
        <is>
          <t>Update Frequency</t>
        </is>
      </c>
      <c r="C26" s="19" t="inlineStr">
        <is>
          <t>Key Cells</t>
        </is>
      </c>
      <c r="D26" s="19" t="inlineStr">
        <is>
          <t>Notes</t>
        </is>
      </c>
    </row>
    <row r="27">
      <c r="A27" t="inlineStr">
        <is>
          <t>Daily Pacing</t>
        </is>
      </c>
      <c r="B27" t="inlineStr">
        <is>
          <t>Daily</t>
        </is>
      </c>
      <c r="C27" t="inlineStr">
        <is>
          <t>B3:J4 (Campaign Info)</t>
        </is>
      </c>
      <c r="D27" t="inlineStr">
        <is>
          <t>Yellow cells are inputs</t>
        </is>
      </c>
    </row>
    <row r="28">
      <c r="A28" t="inlineStr">
        <is>
          <t>Daily Pacing</t>
        </is>
      </c>
      <c r="B28" t="inlineStr">
        <is>
          <t>Daily</t>
        </is>
      </c>
      <c r="C28" t="inlineStr">
        <is>
          <t>Rows 8-20</t>
        </is>
      </c>
      <c r="D28" t="inlineStr">
        <is>
          <t>Add daily performance data</t>
        </is>
      </c>
    </row>
    <row r="29">
      <c r="A29" t="inlineStr">
        <is>
          <t>Weekly Pacing</t>
        </is>
      </c>
      <c r="B29" t="inlineStr">
        <is>
          <t>Weekly</t>
        </is>
      </c>
      <c r="C29" t="inlineStr">
        <is>
          <t>Rows 8-15</t>
        </is>
      </c>
      <c r="D29" t="inlineStr">
        <is>
          <t>Add weekly aggregate data</t>
        </is>
      </c>
    </row>
    <row r="30"/>
    <row r="31">
      <c r="A31" s="2" t="inlineStr">
        <is>
          <t>AUTOMATION TIPS</t>
        </is>
      </c>
    </row>
    <row r="32">
      <c r="A32" t="inlineStr">
        <is>
          <t>1. Date Validation</t>
        </is>
      </c>
      <c r="B32" t="inlineStr">
        <is>
          <t>Ensure dates are sequential</t>
        </is>
      </c>
    </row>
    <row r="33">
      <c r="A33" t="inlineStr">
        <is>
          <t>2. Platform Matching</t>
        </is>
      </c>
      <c r="B33" t="inlineStr">
        <is>
          <t>Use exact platform names</t>
        </is>
      </c>
    </row>
    <row r="34">
      <c r="A34" t="inlineStr">
        <is>
          <t>3. Zero Handling</t>
        </is>
      </c>
      <c r="B34" t="inlineStr">
        <is>
          <t>All formulas handle division by zero</t>
        </is>
      </c>
    </row>
    <row r="35">
      <c r="A35" t="inlineStr">
        <is>
          <t>4. Currency Format</t>
        </is>
      </c>
      <c r="B35" t="inlineStr">
        <is>
          <t>Use consistent currency formatting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9" customWidth="1" min="4" max="4"/>
    <col width="13" customWidth="1" min="5" max="5"/>
    <col width="8" customWidth="1" min="6" max="6"/>
    <col width="13" customWidth="1" min="7" max="7"/>
    <col width="9" customWidth="1" min="8" max="8"/>
    <col width="6" customWidth="1" min="9" max="9"/>
    <col width="6" customWidth="1" min="10" max="10"/>
    <col width="7" customWidth="1" min="11" max="11"/>
    <col width="7" customWidth="1" min="12" max="12"/>
    <col width="6" customWidth="1" min="13" max="13"/>
    <col width="17" customWidth="1" min="14" max="14"/>
    <col width="14" customWidth="1" min="15" max="15"/>
    <col width="14" customWidth="1" min="16" max="16"/>
    <col width="18" customWidth="1" min="17" max="17"/>
    <col width="18" customWidth="1" min="18" max="18"/>
    <col width="22" customWidth="1" min="19" max="19"/>
    <col width="14" customWidth="1" min="20" max="20"/>
    <col width="16" customWidth="1" min="21" max="21"/>
  </cols>
  <sheetData>
    <row r="1">
      <c r="A1" s="42" t="inlineStr">
        <is>
          <t>date</t>
        </is>
      </c>
      <c r="B1" s="42" t="inlineStr">
        <is>
          <t>campaign_id</t>
        </is>
      </c>
      <c r="C1" s="42" t="inlineStr">
        <is>
          <t>campaign_name</t>
        </is>
      </c>
      <c r="D1" s="42" t="inlineStr">
        <is>
          <t>spend</t>
        </is>
      </c>
      <c r="E1" s="42" t="inlineStr">
        <is>
          <t>impressions</t>
        </is>
      </c>
      <c r="F1" s="42" t="inlineStr">
        <is>
          <t>clicks</t>
        </is>
      </c>
      <c r="G1" s="42" t="inlineStr">
        <is>
          <t>conversions</t>
        </is>
      </c>
      <c r="H1" s="42" t="inlineStr">
        <is>
          <t>revenue</t>
        </is>
      </c>
      <c r="I1" s="42" t="inlineStr">
        <is>
          <t>ctr</t>
        </is>
      </c>
      <c r="J1" s="42" t="inlineStr">
        <is>
          <t>cpc</t>
        </is>
      </c>
      <c r="K1" s="42" t="inlineStr">
        <is>
          <t>cpm</t>
        </is>
      </c>
      <c r="L1" s="42" t="inlineStr">
        <is>
          <t>cpa</t>
        </is>
      </c>
      <c r="M1" s="42" t="inlineStr">
        <is>
          <t>roas</t>
        </is>
      </c>
      <c r="N1" s="42" t="inlineStr">
        <is>
          <t>conversion_rate</t>
        </is>
      </c>
      <c r="O1" s="42" t="inlineStr">
        <is>
          <t>budget_total</t>
        </is>
      </c>
      <c r="P1" s="42" t="inlineStr">
        <is>
          <t>budget_spent</t>
        </is>
      </c>
      <c r="Q1" s="42" t="inlineStr">
        <is>
          <t>budget_remaining</t>
        </is>
      </c>
      <c r="R1" s="42" t="inlineStr">
        <is>
          <t>budget_spent_pct</t>
        </is>
      </c>
      <c r="S1" s="42" t="inlineStr">
        <is>
          <t>budget_remaining_pct</t>
        </is>
      </c>
      <c r="T1" s="42" t="inlineStr">
        <is>
          <t>daily_budget</t>
        </is>
      </c>
      <c r="U1" s="42" t="inlineStr">
        <is>
          <t>days_remaining</t>
        </is>
      </c>
    </row>
    <row r="2">
      <c r="A2" t="inlineStr">
        <is>
          <t>2025-12-04</t>
        </is>
      </c>
      <c r="B2" t="inlineStr">
        <is>
          <t>CAMP001</t>
        </is>
      </c>
      <c r="C2" t="inlineStr">
        <is>
          <t>Q4 Brand Campaign</t>
        </is>
      </c>
      <c r="D2" s="43" t="n">
        <v>1500.5</v>
      </c>
      <c r="E2" t="n">
        <v>45000</v>
      </c>
      <c r="F2" t="n">
        <v>450</v>
      </c>
      <c r="G2" t="n">
        <v>25</v>
      </c>
      <c r="H2" s="43" t="n">
        <v>7500</v>
      </c>
      <c r="I2" s="43" t="n">
        <v>1</v>
      </c>
      <c r="J2" s="43" t="n">
        <v>3.33</v>
      </c>
      <c r="K2" s="43" t="n">
        <v>33.34</v>
      </c>
      <c r="L2" s="43" t="n">
        <v>60.02</v>
      </c>
      <c r="M2" s="43" t="n">
        <v>5</v>
      </c>
      <c r="N2" s="43" t="n">
        <v>5.56</v>
      </c>
      <c r="O2" s="43" t="n">
        <v>50000</v>
      </c>
      <c r="P2" s="43" t="n">
        <v>1500.5</v>
      </c>
      <c r="Q2" s="43" t="n">
        <v>48499.5</v>
      </c>
      <c r="R2" s="43" t="n">
        <v>3</v>
      </c>
      <c r="S2" s="43" t="n">
        <v>97</v>
      </c>
      <c r="T2" s="43" t="n">
        <v>543.48</v>
      </c>
      <c r="U2" t="n">
        <v>-338</v>
      </c>
    </row>
    <row r="3">
      <c r="A3" t="inlineStr">
        <is>
          <t>2025-12-04</t>
        </is>
      </c>
      <c r="B3" t="inlineStr">
        <is>
          <t>CAMP002</t>
        </is>
      </c>
      <c r="C3" t="inlineStr">
        <is>
          <t>Holiday Sales Push</t>
        </is>
      </c>
      <c r="D3" s="43" t="n">
        <v>2800.75</v>
      </c>
      <c r="E3" t="n">
        <v>68000</v>
      </c>
      <c r="F3" t="n">
        <v>820</v>
      </c>
      <c r="G3" t="n">
        <v>45</v>
      </c>
      <c r="H3" s="43" t="n">
        <v>14000</v>
      </c>
      <c r="I3" s="43" t="n">
        <v>1.21</v>
      </c>
      <c r="J3" s="43" t="n">
        <v>3.42</v>
      </c>
      <c r="K3" s="43" t="n">
        <v>41.19</v>
      </c>
      <c r="L3" s="43" t="n">
        <v>62.24</v>
      </c>
      <c r="M3" s="43" t="n">
        <v>5</v>
      </c>
      <c r="N3" s="43" t="n">
        <v>5.49</v>
      </c>
      <c r="O3" s="43" t="n">
        <v>75000</v>
      </c>
      <c r="P3" s="43" t="n">
        <v>2800.75</v>
      </c>
      <c r="Q3" s="43" t="n">
        <v>72199.25</v>
      </c>
      <c r="R3" s="43" t="n">
        <v>3.73</v>
      </c>
      <c r="S3" s="43" t="n">
        <v>96.27</v>
      </c>
      <c r="T3" s="43" t="n">
        <v>1875</v>
      </c>
      <c r="U3" t="n">
        <v>-344</v>
      </c>
    </row>
    <row r="4">
      <c r="A4" t="inlineStr">
        <is>
          <t>2025-12-04</t>
        </is>
      </c>
      <c r="B4" t="inlineStr">
        <is>
          <t>CAMP003</t>
        </is>
      </c>
      <c r="C4" t="inlineStr">
        <is>
          <t>Product Launch</t>
        </is>
      </c>
      <c r="D4" s="43" t="n">
        <v>950.25</v>
      </c>
      <c r="E4" t="n">
        <v>28000</v>
      </c>
      <c r="F4" t="n">
        <v>280</v>
      </c>
      <c r="G4" t="n">
        <v>18</v>
      </c>
      <c r="H4" s="43" t="n">
        <v>5400</v>
      </c>
      <c r="I4" s="43" t="n">
        <v>1</v>
      </c>
      <c r="J4" s="43" t="n">
        <v>3.39</v>
      </c>
      <c r="K4" s="43" t="n">
        <v>33.94</v>
      </c>
      <c r="L4" s="43" t="n">
        <v>52.79</v>
      </c>
      <c r="M4" s="43" t="n">
        <v>5.68</v>
      </c>
      <c r="N4" s="43" t="n">
        <v>6.43</v>
      </c>
      <c r="O4" s="43" t="n">
        <v>30000</v>
      </c>
      <c r="P4" s="43" t="n">
        <v>950.25</v>
      </c>
      <c r="Q4" s="43" t="n">
        <v>29049.75</v>
      </c>
      <c r="R4" s="43" t="n">
        <v>3.17</v>
      </c>
      <c r="S4" s="43" t="n">
        <v>96.83</v>
      </c>
      <c r="T4" s="43" t="n">
        <v>967.74</v>
      </c>
      <c r="U4" t="n">
        <v>-338</v>
      </c>
    </row>
    <row r="5">
      <c r="A5" t="inlineStr">
        <is>
          <t>2025-12-04</t>
        </is>
      </c>
      <c r="B5" t="inlineStr">
        <is>
          <t>CAMP004</t>
        </is>
      </c>
      <c r="C5" t="inlineStr">
        <is>
          <t>Retargeting Campaign</t>
        </is>
      </c>
      <c r="D5" s="43" t="n">
        <v>450</v>
      </c>
      <c r="E5" t="n">
        <v>15000</v>
      </c>
      <c r="F5" t="n">
        <v>180</v>
      </c>
      <c r="G5" t="n">
        <v>12</v>
      </c>
      <c r="H5" s="43" t="n">
        <v>3600</v>
      </c>
      <c r="I5" s="43" t="n">
        <v>1.2</v>
      </c>
      <c r="J5" s="43" t="n">
        <v>2.5</v>
      </c>
      <c r="K5" s="43" t="n">
        <v>30</v>
      </c>
      <c r="L5" s="43" t="n">
        <v>37.5</v>
      </c>
      <c r="M5" s="43" t="n">
        <v>8</v>
      </c>
      <c r="N5" s="43" t="n">
        <v>6.67</v>
      </c>
      <c r="O5" s="43" t="n">
        <v>15000</v>
      </c>
      <c r="P5" s="43" t="n">
        <v>450</v>
      </c>
      <c r="Q5" s="43" t="n">
        <v>14550</v>
      </c>
      <c r="R5" s="43" t="n">
        <v>3</v>
      </c>
      <c r="S5" s="43" t="n">
        <v>97</v>
      </c>
      <c r="T5" s="43" t="n">
        <v>245.9</v>
      </c>
      <c r="U5" t="n">
        <v>-338</v>
      </c>
    </row>
    <row r="6">
      <c r="A6" t="inlineStr">
        <is>
          <t>2025-12-04</t>
        </is>
      </c>
      <c r="B6" t="inlineStr">
        <is>
          <t>CAMP005</t>
        </is>
      </c>
      <c r="C6" t="inlineStr">
        <is>
          <t>Lead Generation</t>
        </is>
      </c>
      <c r="D6" s="43" t="n">
        <v>1200</v>
      </c>
      <c r="E6" t="n">
        <v>35000</v>
      </c>
      <c r="F6" t="n">
        <v>420</v>
      </c>
      <c r="G6" t="n">
        <v>28</v>
      </c>
      <c r="H6" s="43" t="n">
        <v>8400</v>
      </c>
      <c r="I6" s="43" t="n">
        <v>1.2</v>
      </c>
      <c r="J6" s="43" t="n">
        <v>2.86</v>
      </c>
      <c r="K6" s="43" t="n">
        <v>34.29</v>
      </c>
      <c r="L6" s="43" t="n">
        <v>42.86</v>
      </c>
      <c r="M6" s="43" t="n">
        <v>7</v>
      </c>
      <c r="N6" s="43" t="n">
        <v>6.67</v>
      </c>
      <c r="O6" s="43" t="n">
        <v>40000</v>
      </c>
      <c r="P6" s="43" t="n">
        <v>1200</v>
      </c>
      <c r="Q6" s="43" t="n">
        <v>38800</v>
      </c>
      <c r="R6" s="43" t="n">
        <v>3</v>
      </c>
      <c r="S6" s="43" t="n">
        <v>97</v>
      </c>
      <c r="T6" s="43" t="n">
        <v>512.8200000000001</v>
      </c>
      <c r="U6" t="n">
        <v>-338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2025-12-04T10:20:45Z</dcterms:created>
  <dcterms:modified xmlns:dcterms="http://purl.org/dc/terms/" xmlns:xsi="http://www.w3.org/2001/XMLSchema-instance" xsi:type="dcterms:W3CDTF">2025-12-04T10:43:56Z</dcterms:modified>
</cp:coreProperties>
</file>