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L12"/>
  <sheetViews>
    <sheetView workbookViewId="0">
      <selection activeCell="A1" sqref="A1"/>
    </sheetView>
  </sheetViews>
  <sheetFormatPr baseColWidth="8" defaultRowHeight="15"/>
  <sheetData>
    <row r="7">
      <c r="A7" t="inlineStr">
        <is>
          <t>Date</t>
        </is>
      </c>
      <c r="B7" t="inlineStr">
        <is>
          <t>Platform</t>
        </is>
      </c>
      <c r="C7" t="inlineStr">
        <is>
          <t>Campaign_Name</t>
        </is>
      </c>
      <c r="D7" t="inlineStr">
        <is>
          <t>Impressions</t>
        </is>
      </c>
      <c r="E7" t="inlineStr">
        <is>
          <t>Clicks</t>
        </is>
      </c>
      <c r="F7" t="inlineStr">
        <is>
          <t>CTR</t>
        </is>
      </c>
      <c r="G7" t="inlineStr">
        <is>
          <t>Conversions</t>
        </is>
      </c>
      <c r="H7" t="inlineStr">
        <is>
          <t>Spend</t>
        </is>
      </c>
      <c r="I7" t="inlineStr">
        <is>
          <t>CPC</t>
        </is>
      </c>
      <c r="J7" t="inlineStr">
        <is>
          <t>CPA</t>
        </is>
      </c>
      <c r="K7" t="inlineStr">
        <is>
          <t>Revenue</t>
        </is>
      </c>
      <c r="L7" t="inlineStr">
        <is>
          <t>ROAS</t>
        </is>
      </c>
    </row>
    <row r="8">
      <c r="A8" t="inlineStr">
        <is>
          <t>2024-09-01</t>
        </is>
      </c>
      <c r="B8" t="inlineStr">
        <is>
          <t>Google Ads</t>
        </is>
      </c>
      <c r="C8" t="inlineStr">
        <is>
          <t>Google Q4 Launch</t>
        </is>
      </c>
      <c r="D8" t="n">
        <v>142831</v>
      </c>
      <c r="E8" t="n">
        <v>1452</v>
      </c>
      <c r="F8">
        <f>IF(D8=0,0,E8/D8*100)</f>
        <v/>
      </c>
      <c r="G8" t="n">
        <v>61</v>
      </c>
      <c r="H8" t="n">
        <v>291.1</v>
      </c>
      <c r="I8">
        <f>IF(E8=0,0,H8/E8)</f>
        <v/>
      </c>
      <c r="J8">
        <f>IF(G8=0,0,H8/G8)</f>
        <v/>
      </c>
      <c r="K8" t="n">
        <v>22528.67</v>
      </c>
      <c r="L8">
        <f>IF(H8=0,0,K8/H8)</f>
        <v/>
      </c>
    </row>
    <row r="9">
      <c r="A9" t="inlineStr">
        <is>
          <t>2024-09-01</t>
        </is>
      </c>
      <c r="B9" t="inlineStr">
        <is>
          <t>Meta Ads</t>
        </is>
      </c>
      <c r="C9" t="inlineStr">
        <is>
          <t>Meta Q4 Launch</t>
        </is>
      </c>
      <c r="D9" t="n">
        <v>27342</v>
      </c>
      <c r="E9" t="n">
        <v>295</v>
      </c>
      <c r="F9">
        <f>IF(D9=0,0,E9/D9*100)</f>
        <v/>
      </c>
      <c r="G9" t="n">
        <v>222</v>
      </c>
      <c r="H9" t="n">
        <v>4659.69</v>
      </c>
      <c r="I9">
        <f>IF(E9=0,0,H9/E9)</f>
        <v/>
      </c>
      <c r="J9">
        <f>IF(G9=0,0,H9/G9)</f>
        <v/>
      </c>
      <c r="K9" t="n">
        <v>11763.51</v>
      </c>
      <c r="L9">
        <f>IF(H9=0,0,K9/H9)</f>
        <v/>
      </c>
    </row>
    <row r="10">
      <c r="A10" t="inlineStr">
        <is>
          <t>2024-09-01</t>
        </is>
      </c>
      <c r="B10" t="inlineStr">
        <is>
          <t>LinkedIn Ads</t>
        </is>
      </c>
      <c r="C10" t="inlineStr">
        <is>
          <t>LinkedIn Q4 Launch</t>
        </is>
      </c>
      <c r="D10" t="n">
        <v>122599</v>
      </c>
      <c r="E10" t="n">
        <v>1997</v>
      </c>
      <c r="F10">
        <f>IF(D10=0,0,E10/D10*100)</f>
        <v/>
      </c>
      <c r="G10" t="n">
        <v>55</v>
      </c>
      <c r="H10" t="n">
        <v>4618.51</v>
      </c>
      <c r="I10">
        <f>IF(E10=0,0,H10/E10)</f>
        <v/>
      </c>
      <c r="J10">
        <f>IF(G10=0,0,H10/G10)</f>
        <v/>
      </c>
      <c r="K10" t="n">
        <v>19761.15</v>
      </c>
      <c r="L10">
        <f>IF(H10=0,0,K10/H10)</f>
        <v/>
      </c>
    </row>
    <row r="11">
      <c r="A11" t="inlineStr">
        <is>
          <t>2024-09-01</t>
        </is>
      </c>
      <c r="B11" t="inlineStr">
        <is>
          <t>YouTube</t>
        </is>
      </c>
      <c r="C11" t="inlineStr">
        <is>
          <t>YouTube Q4 Launch</t>
        </is>
      </c>
      <c r="D11" t="n">
        <v>71917</v>
      </c>
      <c r="E11" t="n">
        <v>514</v>
      </c>
      <c r="F11">
        <f>IF(D11=0,0,E11/D11*100)</f>
        <v/>
      </c>
      <c r="G11" t="n">
        <v>130</v>
      </c>
      <c r="H11" t="n">
        <v>2003.26</v>
      </c>
      <c r="I11">
        <f>IF(E11=0,0,H11/E11)</f>
        <v/>
      </c>
      <c r="J11">
        <f>IF(G11=0,0,H11/G11)</f>
        <v/>
      </c>
      <c r="K11" t="n">
        <v>19747.54</v>
      </c>
      <c r="L11">
        <f>IF(H11=0,0,K11/H11)</f>
        <v/>
      </c>
    </row>
    <row r="12">
      <c r="A12" t="inlineStr">
        <is>
          <t>2024-09-01</t>
        </is>
      </c>
      <c r="B12" t="inlineStr">
        <is>
          <t>Snapchat</t>
        </is>
      </c>
      <c r="C12" t="inlineStr">
        <is>
          <t>Snapchat Q4 Launch</t>
        </is>
      </c>
      <c r="D12" t="n">
        <v>78104</v>
      </c>
      <c r="E12" t="n">
        <v>1514</v>
      </c>
      <c r="F12">
        <f>IF(D12=0,0,E12/D12*100)</f>
        <v/>
      </c>
      <c r="G12" t="n">
        <v>75</v>
      </c>
      <c r="H12" t="n">
        <v>3912.03</v>
      </c>
      <c r="I12">
        <f>IF(E12=0,0,H12/E12)</f>
        <v/>
      </c>
      <c r="J12">
        <f>IF(G12=0,0,H12/G12)</f>
        <v/>
      </c>
      <c r="K12" t="n">
        <v>5619.03</v>
      </c>
      <c r="L12">
        <f>IF(H12=0,0,K12/H12)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2025-12-04T16:14:53Z</dcterms:created>
  <dcterms:modified xmlns:dcterms="http://purl.org/dc/terms/" xmlns:xsi="http://www.w3.org/2001/XMLSchema-instance" xsi:type="dcterms:W3CDTF">2025-12-04T17:24:09Z</dcterms:modified>
</cp:coreProperties>
</file>